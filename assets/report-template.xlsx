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ddca0408f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ёт" sheetId="1" r:id="Ra56e55e8b9b4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0"/>
    <x:numFmt numFmtId="203" formatCode="yyyy-mm-dd"/>
  </x:numFmts>
  <x:fonts count="7">
    <x:font>
      <x:sz val="11"/>
      <x:name val="Carlito"/>
    </x:font>
    <x:font>
      <x:sz val="10"/>
      <x:color rgb="FF171A2E"/>
      <x:name val="Arial"/>
    </x:font>
    <x:font>
      <x:b/>
      <x:sz val="16"/>
      <x:color rgb="FF2A3990"/>
      <x:name val="Arial"/>
    </x:font>
    <x:font>
      <x:i/>
      <x:sz val="10"/>
      <x:color rgb="FF60667B"/>
      <x:name val="Arial"/>
    </x:font>
    <x:font>
      <x:sz val="10"/>
      <x:color rgb="FF60667B"/>
      <x:name val="Arial"/>
    </x:font>
    <x:font>
      <x:b/>
      <x:sz val="12"/>
      <x:color rgb="FF171A2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A399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DE0EB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9fdf224034d0a" /><Relationship Type="http://schemas.openxmlformats.org/officeDocument/2006/relationships/theme" Target="/xl/theme/theme1.xml" Id="Rd13508b6b43140ec" /><Relationship Type="http://schemas.openxmlformats.org/officeDocument/2006/relationships/sharedStrings" Target="/xl/sharedStrings.xml" Id="Rd6e4e1c87ca24d81" /><Relationship Type="http://schemas.openxmlformats.org/officeDocument/2006/relationships/worksheet" Target="/xl/worksheets/sheet1.xml" Id="Ra56e55e8b9b449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9fbf1c3d6f45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Количество по этапам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</c:v>
          </c:tx>
          <c:spPr>
            <a:solidFill xmlns:a="http://schemas.openxmlformats.org/drawingml/2006/main">
              <a:srgbClr val="2A3990"/>
            </a:solidFill>
          </c:spPr>
          <c:invertIfNegative val="0"/>
          <c:cat>
            <c:strRef>
              <c:f>'Отчёт'!$A$21:$A$25</c:f>
              <c:strCache>
                <c:ptCount val="0"/>
              </c:strCache>
            </c:strRef>
          </c:cat>
          <c:val>
            <c:numRef>
              <c:f>'Отчёт'!$B$21:$B$25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9fbf1c3d6f45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5d88cc4e304cf8" /></Relationships>
</file>

<file path=xl/worksheets/sheet1.xml><?xml version="1.0" encoding="utf-8"?>
<x:worksheet xmlns:x="http://schemas.openxmlformats.org/spreadsheetml/2006/main">
  <x:sheetPr>
    <x:tabColor rgb="FF2A3990"/>
  </x:sheetPr>
  <x:sheetViews>
    <x:sheetView showGridLines="0" workbookViewId="0">
      <x:pane ySplit="20" topLeftCell="A21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Ковёр CRM. Отчёт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Тестовые данные шаблона. В выгрузке заменяются данными выбранного отчёта.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2" customHeight="1">
      <x:c r="A5" s="6" t="str">
        <x:v>Количество</x:v>
      </x:c>
      <x:c r="B5" s="8" t="n">
        <x:f>COUNTA(A21:A25)</x:f>
        <x:v>5</x:v>
      </x:c>
      <x:c r="C5" s="2"/>
      <x:c r="D5" s="2"/>
      <x:c r="E5" s="2"/>
      <x:c r="F5" s="2"/>
      <x:c r="G5" s="2"/>
      <x:c r="H5" s="2"/>
      <x:c r="I5" s="2"/>
    </x:row>
    <x:row r="6" ht="22" customHeight="1">
      <x:c r="A6" s="6" t="str">
        <x:v>Сумма, сум</x:v>
      </x:c>
      <x:c r="B6" s="8" t="n">
        <x:f>SUM(E21:E25)</x:f>
        <x:v>545000</x:v>
      </x:c>
      <x:c r="C6" s="2"/>
      <x:c r="D6" s="2"/>
      <x:c r="E6" s="2"/>
      <x:c r="F6" s="2"/>
      <x:c r="G6" s="2"/>
      <x:c r="H6" s="2"/>
      <x:c r="I6" s="2"/>
    </x:row>
    <x:row r="7" ht="22" customHeight="1">
      <x:c r="A7" s="6" t="str">
        <x:v>Доля</x:v>
      </x:c>
      <x:c r="B7" s="9" t="n">
        <x:f>IF(SUM(C21:C25)=0,"",SUM(B21:B25)/SUM(C21:C25))</x:f>
        <x:v>0.8636363636363636</x:v>
      </x:c>
      <x:c r="C7" s="2"/>
      <x:c r="D7" s="2"/>
      <x:c r="E7" s="2"/>
      <x:c r="F7" s="2"/>
      <x:c r="G7" s="2"/>
      <x:c r="H7" s="2"/>
      <x:c r="I7" s="2"/>
    </x:row>
    <x:row r="8" ht="22" customHeight="1">
      <x:c r="A8" s="6" t="str">
        <x:v>Среднее</x:v>
      </x:c>
      <x:c r="B8" s="10" t="n">
        <x:f>AVERAGE(H21:H25)</x:f>
        <x:v>2.05</x:v>
      </x:c>
      <x:c r="C8" s="2"/>
      <x:c r="D8" s="2"/>
      <x:c r="E8" s="2"/>
      <x:c r="F8" s="2"/>
      <x:c r="G8" s="2"/>
      <x:c r="H8" s="2"/>
      <x:c r="I8" s="2"/>
    </x:row>
    <x:row r="9" ht="22" customHeight="1">
      <x:c r="A9" s="6" t="str">
        <x:v>Параметр</x:v>
      </x:c>
      <x:c r="B9" s="8" t="n">
        <x:v>90</x:v>
      </x:c>
      <x:c r="C9" s="2"/>
      <x:c r="D9" s="2"/>
      <x:c r="E9" s="2"/>
      <x:c r="F9" s="2"/>
      <x:c r="G9" s="2"/>
      <x:c r="H9" s="2"/>
      <x:c r="I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2" customHeight="1">
      <x:c r="A17" s="6" t="str">
        <x:v>Источник: выбранный отчёт Ковёр CRM. Период и фильтры указываются при выгрузке.</x:v>
      </x:c>
      <x:c r="B17" s="2"/>
      <x:c r="C17" s="2"/>
      <x:c r="D17" s="2"/>
      <x:c r="E17" s="2"/>
      <x:c r="F17" s="2"/>
      <x:c r="G17" s="2"/>
      <x:c r="H17" s="2"/>
      <x:c r="I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42" customHeight="1">
      <x:c r="A20" s="14" t="str">
        <x:v>Группа</x:v>
      </x:c>
      <x:c r="B20" s="14" t="str">
        <x:v>Количество</x:v>
      </x:c>
      <x:c r="C20" s="14" t="str">
        <x:v>Основание</x:v>
      </x:c>
      <x:c r="D20" s="14" t="str">
        <x:v>Доля</x:v>
      </x:c>
      <x:c r="E20" s="14" t="str">
        <x:v>Сумма, сум</x:v>
      </x:c>
      <x:c r="F20" s="14" t="str">
        <x:v>Дата</x:v>
      </x:c>
      <x:c r="G20" s="14" t="str">
        <x:v>Примечание</x:v>
      </x:c>
      <x:c r="H20" s="14" t="str">
        <x:v>Часы</x:v>
      </x:c>
      <x:c r="I20" s="14" t="str">
        <x:v>Значение</x:v>
      </x:c>
    </x:row>
    <x:row r="21" ht="22" customHeight="1">
      <x:c r="A21" s="2" t="str">
        <x:v>Заявки</x:v>
      </x:c>
      <x:c r="B21" s="19" t="n">
        <x:v>25</x:v>
      </x:c>
      <x:c r="C21" s="19" t="n">
        <x:v>30</x:v>
      </x:c>
      <x:c r="D21" s="20" t="n">
        <x:f>IF(C21=0,"",B21/C21)</x:f>
        <x:v>0.8333333333333334</x:v>
      </x:c>
      <x:c r="E21" s="19" t="n">
        <x:v>150000</x:v>
      </x:c>
      <x:c r="F21" s="21" t="n">
        <x:v>46296</x:v>
      </x:c>
      <x:c r="G21" s="2" t="str">
        <x:v>Группа 1</x:v>
      </x:c>
      <x:c r="H21" s="22" t="n">
        <x:v>1.5</x:v>
      </x:c>
      <x:c r="I21" s="22" t="n">
        <x:v>2</x:v>
      </x:c>
    </x:row>
    <x:row r="22" ht="22" customHeight="1">
      <x:c r="A22" s="2" t="str">
        <x:v>Забрано</x:v>
      </x:c>
      <x:c r="B22" s="19" t="n">
        <x:v>20</x:v>
      </x:c>
      <x:c r="C22" s="19" t="n">
        <x:v>25</x:v>
      </x:c>
      <x:c r="D22" s="20" t="n">
        <x:f>IF(C22=0,"",B22/C22)</x:f>
        <x:v>0.8</x:v>
      </x:c>
      <x:c r="E22" s="19" t="n">
        <x:v>120000</x:v>
      </x:c>
      <x:c r="F22" s="21" t="n">
        <x:v>46297</x:v>
      </x:c>
      <x:c r="G22" s="2" t="str">
        <x:v>Группа 2</x:v>
      </x:c>
      <x:c r="H22" s="22" t="n">
        <x:v>2.25</x:v>
      </x:c>
      <x:c r="I22" s="22" t="n">
        <x:v>3</x:v>
      </x:c>
    </x:row>
    <x:row r="23" ht="22" customHeight="1">
      <x:c r="A23" s="2" t="str">
        <x:v>Стирка</x:v>
      </x:c>
      <x:c r="B23" s="19" t="n">
        <x:v>18</x:v>
      </x:c>
      <x:c r="C23" s="19" t="n">
        <x:v>20</x:v>
      </x:c>
      <x:c r="D23" s="20" t="n">
        <x:f>IF(C23=0,"",B23/C23)</x:f>
        <x:v>0.9</x:v>
      </x:c>
      <x:c r="E23" s="19" t="n">
        <x:v>100000</x:v>
      </x:c>
      <x:c r="F23" s="21" t="n">
        <x:v>46298</x:v>
      </x:c>
      <x:c r="G23" s="2" t="str">
        <x:v>Группа 3</x:v>
      </x:c>
      <x:c r="H23" s="22" t="n">
        <x:v>3.5</x:v>
      </x:c>
      <x:c r="I23" s="22" t="n">
        <x:v>4</x:v>
      </x:c>
    </x:row>
    <x:row r="24" ht="22" customHeight="1">
      <x:c r="A24" s="2" t="str">
        <x:v>Готово</x:v>
      </x:c>
      <x:c r="B24" s="19" t="n">
        <x:v>17</x:v>
      </x:c>
      <x:c r="C24" s="19" t="n">
        <x:v>18</x:v>
      </x:c>
      <x:c r="D24" s="20" t="n">
        <x:f>IF(C24=0,"",B24/C24)</x:f>
        <x:v>0.9444444444444444</x:v>
      </x:c>
      <x:c r="E24" s="19" t="n">
        <x:v>90000</x:v>
      </x:c>
      <x:c r="F24" s="21" t="n">
        <x:v>46299</x:v>
      </x:c>
      <x:c r="G24" s="2" t="str">
        <x:v>Группа 4</x:v>
      </x:c>
      <x:c r="H24" s="22" t="n">
        <x:v>1</x:v>
      </x:c>
      <x:c r="I24" s="22" t="n">
        <x:v>5</x:v>
      </x:c>
    </x:row>
    <x:row r="25" ht="22" customHeight="1">
      <x:c r="A25" s="2" t="str">
        <x:v>Выдано</x:v>
      </x:c>
      <x:c r="B25" s="19" t="n">
        <x:v>15</x:v>
      </x:c>
      <x:c r="C25" s="19" t="n">
        <x:v>17</x:v>
      </x:c>
      <x:c r="D25" s="20" t="n">
        <x:f>IF(C25=0,"",B25/C25)</x:f>
        <x:v>0.8823529411764706</x:v>
      </x:c>
      <x:c r="E25" s="19" t="n">
        <x:v>85000</x:v>
      </x:c>
      <x:c r="F25" s="21" t="n">
        <x:v>46300</x:v>
      </x:c>
      <x:c r="G25" s="2" t="str">
        <x:v>Группа 5</x:v>
      </x:c>
      <x:c r="H25" s="22" t="n">
        <x:v>2</x:v>
      </x:c>
      <x:c r="I25" s="22" t="n">
        <x:v>6</x:v>
      </x:c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</x:row>
  </x:sheetData>
  <x:conditionalFormatting sqref="B21:B25">
    <x:cfRule type="dataBar" priority="1">
      <x:dataBar>
        <x:cfvo type="min"/>
        <x:cfvo type="max"/>
        <x:color rgb="FF7E8DD9"/>
      </x:dataBar>
    </x:cfRule>
  </x:conditionalFormatting>
  <x:pageMargins left="0.7" right="0.7" top="0.75" bottom="0.75" header="0.3" footer="0.3"/>
  <x:drawing xmlns:r="http://schemas.openxmlformats.org/officeDocument/2006/relationships" r:id="R5d5d88cc4e304cf8"/>
</x:worksheet>
</file>